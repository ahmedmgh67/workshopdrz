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USTAINA\Projects\Cheiron - Food Waste Campaign\"/>
    </mc:Choice>
  </mc:AlternateContent>
  <xr:revisionPtr revIDLastSave="0" documentId="13_ncr:1_{0D9A2725-2FA7-4809-9F8C-E621319E6F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" l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6" i="3" l="1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E20" i="3"/>
  <c r="B20" i="3"/>
  <c r="C20" i="3" l="1"/>
</calcChain>
</file>

<file path=xl/sharedStrings.xml><?xml version="1.0" encoding="utf-8"?>
<sst xmlns="http://schemas.openxmlformats.org/spreadsheetml/2006/main" count="30" uniqueCount="29">
  <si>
    <t xml:space="preserve">How Much it Costs </t>
  </si>
  <si>
    <t>Assumption</t>
  </si>
  <si>
    <t xml:space="preserve">Organic Waste </t>
  </si>
  <si>
    <t>Category</t>
  </si>
  <si>
    <t xml:space="preserve">percentage </t>
  </si>
  <si>
    <t>cost/kg</t>
  </si>
  <si>
    <t xml:space="preserve">Meat </t>
  </si>
  <si>
    <t>Other dairy</t>
  </si>
  <si>
    <t xml:space="preserve">Processed fruit </t>
  </si>
  <si>
    <t>Fish and Seafood</t>
  </si>
  <si>
    <t xml:space="preserve">Fresh Vegetables </t>
  </si>
  <si>
    <t xml:space="preserve">Added Sugar and Sweeteners </t>
  </si>
  <si>
    <t>Poultry</t>
  </si>
  <si>
    <t>Fresh Fruit</t>
  </si>
  <si>
    <t xml:space="preserve">Added Fats and Oils </t>
  </si>
  <si>
    <t xml:space="preserve">Fluid Milk </t>
  </si>
  <si>
    <t>Eggs</t>
  </si>
  <si>
    <t xml:space="preserve">Tree nuts and Peanuts </t>
  </si>
  <si>
    <t>Grain Products (includes rice and barley)</t>
  </si>
  <si>
    <t xml:space="preserve">kg/Capita Waste </t>
  </si>
  <si>
    <t xml:space="preserve">Kg/Capita Waste </t>
  </si>
  <si>
    <t xml:space="preserve">Processed Vegetables </t>
  </si>
  <si>
    <t xml:space="preserve">Household </t>
  </si>
  <si>
    <t>capita</t>
  </si>
  <si>
    <t>fill cells in orange</t>
  </si>
  <si>
    <t xml:space="preserve">variables </t>
  </si>
  <si>
    <t xml:space="preserve">Results </t>
  </si>
  <si>
    <t>Cost/household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</si>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</sst>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2" fillId="2" borderId="1" xfId="0" applyFont="1" applyFill="1" applyBorder="1"/>
    <xf numFmtId="9" fontId="2" fillId="2" borderId="1" xfId="0" applyNumberFormat="1" applyFont="1" applyFill="1" applyBorder="1"/>
    <xf numFmtId="9" fontId="0" fillId="7" borderId="0" xfId="1" applyFont="1" applyFill="1"/>
    <xf numFmtId="0" fontId="2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2093-7347-43C1-AD62-F96F9BA99617}">
  <dimension ref="A1:H20"/>
  <sheetViews>
    <sheetView tabSelected="1" workbookViewId="0">
      <selection activeCell="H21" sqref="H21"/>
    </sheetView>
  </sheetViews>
  <sheetFormatPr defaultRowHeight="14.5" x14ac:dyDescent="0.35"/>
  <cols>
    <col min="1" max="1" width="35.26953125" style="1" customWidth="1"/>
    <col min="2" max="2" width="11.453125" style="1" customWidth="1"/>
    <col min="3" max="3" width="14.81640625" style="1" customWidth="1"/>
    <col min="4" max="4" width="15.36328125" style="1" customWidth="1"/>
    <col min="5" max="5" width="10.36328125" style="1" customWidth="1"/>
    <col min="6" max="6" width="14.6328125" style="1" customWidth="1"/>
    <col min="7" max="7" width="14.26953125" style="1" customWidth="1"/>
    <col min="8" max="16384" width="8.7265625" style="1"/>
  </cols>
  <sheetData>
    <row r="1" spans="1:8" x14ac:dyDescent="0.35">
      <c r="A1" s="9" t="s">
        <v>0</v>
      </c>
      <c r="B1" s="9"/>
      <c r="C1" s="9"/>
      <c r="D1" s="9"/>
      <c r="E1" s="9"/>
      <c r="F1" s="9"/>
      <c r="G1" s="9"/>
    </row>
    <row r="2" spans="1:8" x14ac:dyDescent="0.35">
      <c r="A2" s="2" t="s">
        <v>1</v>
      </c>
      <c r="B2" s="4">
        <v>1</v>
      </c>
      <c r="C2" s="1" t="s">
        <v>19</v>
      </c>
      <c r="E2" s="14"/>
      <c r="F2" s="14"/>
      <c r="G2" s="10" t="s">
        <v>24</v>
      </c>
      <c r="H2" s="10"/>
    </row>
    <row r="3" spans="1:8" x14ac:dyDescent="0.35">
      <c r="A3" s="2" t="s">
        <v>2</v>
      </c>
      <c r="B3" s="4">
        <v>0.6</v>
      </c>
      <c r="C3" s="1" t="s">
        <v>20</v>
      </c>
      <c r="E3" s="14"/>
      <c r="F3" s="14"/>
      <c r="G3" s="11" t="s">
        <v>25</v>
      </c>
      <c r="H3" s="11"/>
    </row>
    <row r="4" spans="1:8" x14ac:dyDescent="0.35">
      <c r="A4" s="2" t="s">
        <v>22</v>
      </c>
      <c r="B4" s="4">
        <v>4</v>
      </c>
      <c r="C4" s="1" t="s">
        <v>23</v>
      </c>
      <c r="E4" s="15"/>
      <c r="F4" s="14"/>
      <c r="G4" s="12" t="s">
        <v>26</v>
      </c>
      <c r="H4" s="13"/>
    </row>
    <row r="5" spans="1:8" x14ac:dyDescent="0.35">
      <c r="A5" s="3" t="s">
        <v>3</v>
      </c>
      <c r="B5" s="3" t="s">
        <v>4</v>
      </c>
      <c r="C5" s="3" t="s">
        <v>27</v>
      </c>
      <c r="D5" s="3"/>
      <c r="E5" s="3" t="s">
        <v>5</v>
      </c>
      <c r="F5" s="3" t="s">
        <v>27</v>
      </c>
    </row>
    <row r="6" spans="1:8" x14ac:dyDescent="0.35">
      <c r="A6" s="3" t="s">
        <v>6</v>
      </c>
      <c r="B6" s="8">
        <v>0.03</v>
      </c>
      <c r="C6" s="3">
        <f>B6*0.6*365*500*4</f>
        <v>13139.999999999998</v>
      </c>
      <c r="D6" s="6">
        <f>E6*0.6*365*4</f>
        <v>438000</v>
      </c>
      <c r="E6" s="5">
        <v>500</v>
      </c>
      <c r="F6" s="3">
        <f>B6*D6</f>
        <v>13140</v>
      </c>
    </row>
    <row r="7" spans="1:8" x14ac:dyDescent="0.35">
      <c r="A7" s="3" t="s">
        <v>7</v>
      </c>
      <c r="B7" s="8">
        <v>0.04</v>
      </c>
      <c r="C7" s="3">
        <f>B7*0.6*365*150*4</f>
        <v>5256</v>
      </c>
      <c r="D7" s="6">
        <f t="shared" ref="D7:D19" si="0">E7*0.6*365*4</f>
        <v>131400</v>
      </c>
      <c r="E7" s="5">
        <v>150</v>
      </c>
      <c r="F7" s="3">
        <f t="shared" ref="F7:F19" si="1">B7*D7</f>
        <v>5256</v>
      </c>
    </row>
    <row r="8" spans="1:8" x14ac:dyDescent="0.35">
      <c r="A8" s="3" t="s">
        <v>8</v>
      </c>
      <c r="B8" s="8">
        <v>0.04</v>
      </c>
      <c r="C8" s="3">
        <f>B8*0.6*365*100*4</f>
        <v>3504</v>
      </c>
      <c r="D8" s="6">
        <f t="shared" si="0"/>
        <v>87600</v>
      </c>
      <c r="E8" s="5">
        <v>100</v>
      </c>
      <c r="F8" s="3">
        <f t="shared" si="1"/>
        <v>3504</v>
      </c>
    </row>
    <row r="9" spans="1:8" x14ac:dyDescent="0.35">
      <c r="A9" s="3" t="s">
        <v>9</v>
      </c>
      <c r="B9" s="8">
        <v>0.02</v>
      </c>
      <c r="C9" s="3">
        <f>B9*0.6*365*150*4</f>
        <v>2628</v>
      </c>
      <c r="D9" s="6">
        <f t="shared" si="0"/>
        <v>131400</v>
      </c>
      <c r="E9" s="5">
        <v>150</v>
      </c>
      <c r="F9" s="3">
        <f t="shared" si="1"/>
        <v>2628</v>
      </c>
    </row>
    <row r="10" spans="1:8" x14ac:dyDescent="0.35">
      <c r="A10" s="3" t="s">
        <v>10</v>
      </c>
      <c r="B10" s="8">
        <v>0.28000000000000003</v>
      </c>
      <c r="C10" s="3">
        <f>B10*0.6*365*30*4</f>
        <v>7358.4</v>
      </c>
      <c r="D10" s="6">
        <f t="shared" si="0"/>
        <v>26280</v>
      </c>
      <c r="E10" s="5">
        <v>30</v>
      </c>
      <c r="F10" s="3">
        <f t="shared" si="1"/>
        <v>7358.4000000000005</v>
      </c>
    </row>
    <row r="11" spans="1:8" x14ac:dyDescent="0.35">
      <c r="A11" s="3" t="s">
        <v>11</v>
      </c>
      <c r="B11" s="8">
        <v>0.02</v>
      </c>
      <c r="C11" s="3">
        <f>B11*0.6*365*30*4</f>
        <v>525.6</v>
      </c>
      <c r="D11" s="6">
        <f t="shared" si="0"/>
        <v>26280</v>
      </c>
      <c r="E11" s="5">
        <v>30</v>
      </c>
      <c r="F11" s="3">
        <f t="shared" si="1"/>
        <v>525.6</v>
      </c>
    </row>
    <row r="12" spans="1:8" x14ac:dyDescent="0.35">
      <c r="A12" s="3" t="s">
        <v>12</v>
      </c>
      <c r="B12" s="8">
        <v>0.04</v>
      </c>
      <c r="C12" s="3">
        <f>B12*0.6*365*200*4</f>
        <v>7008</v>
      </c>
      <c r="D12" s="6">
        <f t="shared" si="0"/>
        <v>175200</v>
      </c>
      <c r="E12" s="5">
        <v>200</v>
      </c>
      <c r="F12" s="3">
        <f t="shared" si="1"/>
        <v>7008</v>
      </c>
    </row>
    <row r="13" spans="1:8" x14ac:dyDescent="0.35">
      <c r="A13" s="3" t="s">
        <v>13</v>
      </c>
      <c r="B13" s="8">
        <v>0.18</v>
      </c>
      <c r="C13" s="3">
        <f>B13*0.6*365*100*4</f>
        <v>15768</v>
      </c>
      <c r="D13" s="6">
        <f t="shared" si="0"/>
        <v>87600</v>
      </c>
      <c r="E13" s="5">
        <v>100</v>
      </c>
      <c r="F13" s="3">
        <f t="shared" si="1"/>
        <v>15768</v>
      </c>
    </row>
    <row r="14" spans="1:8" x14ac:dyDescent="0.35">
      <c r="A14" s="3" t="s">
        <v>18</v>
      </c>
      <c r="B14" s="8">
        <v>0.19</v>
      </c>
      <c r="C14" s="3">
        <f>B14*0.6*365*45*4</f>
        <v>7489.8</v>
      </c>
      <c r="D14" s="6">
        <f t="shared" si="0"/>
        <v>39420</v>
      </c>
      <c r="E14" s="5">
        <v>45</v>
      </c>
      <c r="F14" s="3">
        <f t="shared" si="1"/>
        <v>7489.8</v>
      </c>
    </row>
    <row r="15" spans="1:8" x14ac:dyDescent="0.35">
      <c r="A15" s="3" t="s">
        <v>21</v>
      </c>
      <c r="B15" s="8">
        <v>0.05</v>
      </c>
      <c r="C15" s="3">
        <f>B15*0.6*365*80*4</f>
        <v>3504</v>
      </c>
      <c r="D15" s="6">
        <f t="shared" si="0"/>
        <v>70080</v>
      </c>
      <c r="E15" s="5">
        <v>80</v>
      </c>
      <c r="F15" s="3">
        <f t="shared" si="1"/>
        <v>3504</v>
      </c>
    </row>
    <row r="16" spans="1:8" x14ac:dyDescent="0.35">
      <c r="A16" s="3" t="s">
        <v>14</v>
      </c>
      <c r="B16" s="8">
        <v>0.03</v>
      </c>
      <c r="C16" s="3">
        <f>B16*0.6*365*100*4</f>
        <v>2627.9999999999995</v>
      </c>
      <c r="D16" s="6">
        <f t="shared" si="0"/>
        <v>87600</v>
      </c>
      <c r="E16" s="5">
        <v>100</v>
      </c>
      <c r="F16" s="3">
        <f t="shared" si="1"/>
        <v>2628</v>
      </c>
    </row>
    <row r="17" spans="1:7" x14ac:dyDescent="0.35">
      <c r="A17" s="3" t="s">
        <v>15</v>
      </c>
      <c r="B17" s="8">
        <v>0.05</v>
      </c>
      <c r="C17" s="3">
        <f>B17*0.6*365*100*4</f>
        <v>4380</v>
      </c>
      <c r="D17" s="6">
        <f t="shared" si="0"/>
        <v>87600</v>
      </c>
      <c r="E17" s="5">
        <v>100</v>
      </c>
      <c r="F17" s="3">
        <f t="shared" si="1"/>
        <v>4380</v>
      </c>
    </row>
    <row r="18" spans="1:7" x14ac:dyDescent="0.35">
      <c r="A18" s="3" t="s">
        <v>16</v>
      </c>
      <c r="B18" s="8">
        <v>0.02</v>
      </c>
      <c r="C18" s="3">
        <f>B18*0.6*365*150*4</f>
        <v>2628</v>
      </c>
      <c r="D18" s="6">
        <f t="shared" si="0"/>
        <v>131400</v>
      </c>
      <c r="E18" s="5">
        <v>150</v>
      </c>
      <c r="F18" s="3">
        <f t="shared" si="1"/>
        <v>2628</v>
      </c>
    </row>
    <row r="19" spans="1:7" x14ac:dyDescent="0.35">
      <c r="A19" s="3" t="s">
        <v>17</v>
      </c>
      <c r="B19" s="8">
        <v>0.01</v>
      </c>
      <c r="C19" s="3">
        <f>B19*0.6*365*250*4</f>
        <v>2190</v>
      </c>
      <c r="D19" s="6">
        <f t="shared" si="0"/>
        <v>219000</v>
      </c>
      <c r="E19" s="5">
        <v>250</v>
      </c>
      <c r="F19" s="3">
        <f t="shared" si="1"/>
        <v>2190</v>
      </c>
    </row>
    <row r="20" spans="1:7" x14ac:dyDescent="0.35">
      <c r="A20" s="6" t="s">
        <v>28</v>
      </c>
      <c r="B20" s="7">
        <f>SUM(B6:B19)</f>
        <v>1.0000000000000002</v>
      </c>
      <c r="C20" s="6">
        <f>SUM(C6:C19)</f>
        <v>78007.8</v>
      </c>
      <c r="D20" s="6"/>
      <c r="E20" s="6">
        <f t="shared" ref="E20" si="2">SUM(E6:E19)</f>
        <v>1985</v>
      </c>
      <c r="F20" s="16">
        <f>SUM(F6:F19)</f>
        <v>78007.8</v>
      </c>
      <c r="G20" s="2"/>
    </row>
  </sheetData>
  <mergeCells count="7">
    <mergeCell ref="A1:G1"/>
    <mergeCell ref="E2:F2"/>
    <mergeCell ref="E3:F3"/>
    <mergeCell ref="E4:F4"/>
    <mergeCell ref="G2:H2"/>
    <mergeCell ref="G3:H3"/>
    <mergeCell ref="G4:H4"/>
  </mergeCells>
  <pageMargins left="0.7" right="0.7" top="0.75" bottom="0.75" header="0.3" footer="0.3"/>
  <ignoredErrors>
    <ignoredError sqref="C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 Zayat</dc:creator>
  <cp:lastModifiedBy>Mohamed El Zayat</cp:lastModifiedBy>
  <dcterms:created xsi:type="dcterms:W3CDTF">2015-06-05T18:17:20Z</dcterms:created>
  <dcterms:modified xsi:type="dcterms:W3CDTF">2026-04-17T19:27:17Z</dcterms:modified>
</cp:coreProperties>
</file>